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410175\Desktop\"/>
    </mc:Choice>
  </mc:AlternateContent>
  <xr:revisionPtr revIDLastSave="0" documentId="13_ncr:1_{88A58BC3-6101-4F95-B047-986B2CF9802F}" xr6:coauthVersionLast="47" xr6:coauthVersionMax="47" xr10:uidLastSave="{00000000-0000-0000-0000-000000000000}"/>
  <bookViews>
    <workbookView xWindow="-120" yWindow="-120" windowWidth="24240" windowHeight="13140" xr2:uid="{A559A506-A50E-48F9-9EE0-BDEEAF59EE10}"/>
  </bookViews>
  <sheets>
    <sheet name="ธรรมดา" sheetId="2" r:id="rId1"/>
    <sheet name="สบายด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2" l="1"/>
  <c r="E18" i="2"/>
  <c r="C18" i="2"/>
  <c r="I14" i="2"/>
  <c r="E14" i="2"/>
  <c r="C13" i="2"/>
  <c r="C8" i="2"/>
  <c r="E7" i="2" s="1"/>
  <c r="E9" i="2"/>
  <c r="E4" i="2"/>
  <c r="E6" i="2" s="1"/>
  <c r="J11" i="1"/>
  <c r="C19" i="1"/>
  <c r="C5" i="1"/>
  <c r="C7" i="1" s="1"/>
  <c r="E15" i="2" l="1"/>
  <c r="C8" i="1"/>
  <c r="C9" i="1" l="1"/>
  <c r="C18" i="1"/>
  <c r="C21" i="1" s="1"/>
</calcChain>
</file>

<file path=xl/sharedStrings.xml><?xml version="1.0" encoding="utf-8"?>
<sst xmlns="http://schemas.openxmlformats.org/spreadsheetml/2006/main" count="90" uniqueCount="56">
  <si>
    <t>🚗 Yaris HB 1.2 Smart 💨</t>
  </si>
  <si>
    <t>(🌼 แคมเปญสบายดี 🌼)</t>
  </si>
  <si>
    <t>( งวดที่ 84 ลูกค้าสามารถปิดยอดได้ หรือ สามารถผ่อนต่อได้อีก 2ปี คำนวณดอกเบี้ยจากไฟแนนซ์ )</t>
  </si>
  <si>
    <t>ราคารถ</t>
  </si>
  <si>
    <t>บาท</t>
  </si>
  <si>
    <t>สีขาวมุก</t>
  </si>
  <si>
    <t>บวกช่วยดาวน์</t>
  </si>
  <si>
    <t>ราคารถ+สีขาวมุก</t>
  </si>
  <si>
    <t>ราคารถ+สีขาวมุก+ช่วยดาวน์</t>
  </si>
  <si>
    <t>ดาวน์15%</t>
  </si>
  <si>
    <t>ยอดจัด</t>
  </si>
  <si>
    <t>งวดที่ 1-83 (3.55%)</t>
  </si>
  <si>
    <t>งวดที่ 84 (RV20%)</t>
  </si>
  <si>
    <t>1+2</t>
  </si>
  <si>
    <t>3+4</t>
  </si>
  <si>
    <t>5x0.15</t>
  </si>
  <si>
    <t>5-6</t>
  </si>
  <si>
    <t>✨🎀 ค่าใช้จ่ายวันรับรถ 🎀✨</t>
  </si>
  <si>
    <t>*ผ่านไฟแนนซ์ลูกค้าโอนเพิ่ม 2,000</t>
  </si>
  <si>
    <t>ส่วนลดดาวน์</t>
  </si>
  <si>
    <t>ส่วนลดช่วยดาวน์</t>
  </si>
  <si>
    <t>1.เงินดาวน์</t>
  </si>
  <si>
    <t>2.ค่าจดทะเทียน</t>
  </si>
  <si>
    <t>(ได้คืน)</t>
  </si>
  <si>
    <t>3.ค่ามัดจำป้ายแดง</t>
  </si>
  <si>
    <t>4.ค่าธรรมเนียมไฟแนนซ์</t>
  </si>
  <si>
    <t>5.VAT 3% (75,000)</t>
  </si>
  <si>
    <t>รวมค่าใช้จ่ายออกรถ</t>
  </si>
  <si>
    <t>หักเงินจอง</t>
  </si>
  <si>
    <t>เหลือยอดชำระ</t>
  </si>
  <si>
    <t>1.ช่วยดาวน์มาจากไหน</t>
  </si>
  <si>
    <t>4.ส่วนลดช่วยดาวน์มาจากไหน</t>
  </si>
  <si>
    <t>2.ทำไมผ่อนเดือนละ 7,412</t>
  </si>
  <si>
    <t>3.ค่า RV คิดยังไง? มีกี่เรต?</t>
  </si>
  <si>
    <t>ผ่อน</t>
  </si>
  <si>
    <t>ปี</t>
  </si>
  <si>
    <t>ดอกเบี้ย</t>
  </si>
  <si>
    <t>กรอก</t>
  </si>
  <si>
    <t>()</t>
  </si>
  <si>
    <t>🚗 All New Camry 2.5 HEV Premium 💨</t>
  </si>
  <si>
    <t>ผ่อน 5ปี ดอกเบี้ย (2.40%)</t>
  </si>
  <si>
    <t>💵 ราคารถ:</t>
  </si>
  <si>
    <t>สี ( Precious Metal )</t>
  </si>
  <si>
    <t xml:space="preserve">                      =</t>
  </si>
  <si>
    <t>%</t>
  </si>
  <si>
    <t>งวดละ =</t>
  </si>
  <si>
    <t>🌟ดาวน์20%</t>
  </si>
  <si>
    <t>ราคาสุทธิ</t>
  </si>
  <si>
    <t>ส่วนลด</t>
  </si>
  <si>
    <t>3-4</t>
  </si>
  <si>
    <t>5*7</t>
  </si>
  <si>
    <t>(8*10*11)+8</t>
  </si>
  <si>
    <t>เดือน</t>
  </si>
  <si>
    <t>13/11</t>
  </si>
  <si>
    <t>ดอกเบี้ยรวม</t>
  </si>
  <si>
    <t>ยอดชำระทั้งหมด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</si>
</sst>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49" fontId="0" fillId="0" borderId="0" xfId="0" applyNumberFormat="1"/>
    <xf numFmtId="4" fontId="2" fillId="0" borderId="0" xfId="0" applyNumberFormat="1" applyFont="1"/>
    <xf numFmtId="10" fontId="0" fillId="0" borderId="0" xfId="0" applyNumberFormat="1"/>
    <xf numFmtId="4" fontId="0" fillId="0" borderId="0" xfId="0" applyNumberFormat="1"/>
    <xf numFmtId="49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4E15-3FF8-40EC-BF84-5F38BC9EC2F4}">
  <dimension ref="A1:I18"/>
  <sheetViews>
    <sheetView tabSelected="1" topLeftCell="A4" workbookViewId="0">
      <selection activeCell="I14" sqref="I14"/>
    </sheetView>
  </sheetViews>
  <sheetFormatPr defaultRowHeight="14.25" x14ac:dyDescent="0.2"/>
  <cols>
    <col min="2" max="2" width="34.875" bestFit="1" customWidth="1"/>
    <col min="5" max="5" width="14.375" customWidth="1"/>
    <col min="6" max="6" width="18.875" style="8" customWidth="1"/>
    <col min="8" max="8" width="13.75" bestFit="1" customWidth="1"/>
    <col min="9" max="9" width="13.125" bestFit="1" customWidth="1"/>
  </cols>
  <sheetData>
    <row r="1" spans="1:9" x14ac:dyDescent="0.2">
      <c r="B1" t="s">
        <v>39</v>
      </c>
    </row>
    <row r="2" spans="1:9" x14ac:dyDescent="0.2">
      <c r="A2" s="2">
        <v>1</v>
      </c>
      <c r="B2" t="s">
        <v>41</v>
      </c>
      <c r="C2" s="1">
        <v>1659000</v>
      </c>
      <c r="D2" t="s">
        <v>4</v>
      </c>
    </row>
    <row r="3" spans="1:9" x14ac:dyDescent="0.2">
      <c r="A3" s="2">
        <v>2</v>
      </c>
      <c r="B3" t="s">
        <v>42</v>
      </c>
      <c r="C3" s="1">
        <v>10000</v>
      </c>
      <c r="D3" t="s">
        <v>4</v>
      </c>
    </row>
    <row r="4" spans="1:9" x14ac:dyDescent="0.2">
      <c r="A4" s="2">
        <v>3</v>
      </c>
      <c r="B4" t="s">
        <v>43</v>
      </c>
      <c r="C4" s="1">
        <v>1669000</v>
      </c>
      <c r="D4" t="s">
        <v>4</v>
      </c>
      <c r="E4" s="1">
        <f>C2+C3</f>
        <v>1669000</v>
      </c>
      <c r="F4" s="8" t="s">
        <v>13</v>
      </c>
    </row>
    <row r="5" spans="1:9" x14ac:dyDescent="0.2">
      <c r="A5" s="2">
        <v>4</v>
      </c>
      <c r="B5" t="s">
        <v>48</v>
      </c>
      <c r="C5" s="1">
        <v>38000</v>
      </c>
      <c r="D5" t="s">
        <v>4</v>
      </c>
      <c r="H5" s="1"/>
    </row>
    <row r="6" spans="1:9" x14ac:dyDescent="0.2">
      <c r="A6" s="2">
        <v>5</v>
      </c>
      <c r="B6" t="s">
        <v>47</v>
      </c>
      <c r="C6" s="1">
        <v>1631000</v>
      </c>
      <c r="D6" t="s">
        <v>4</v>
      </c>
      <c r="E6" s="1">
        <f>E4-C5</f>
        <v>1631000</v>
      </c>
      <c r="F6" s="8" t="s">
        <v>49</v>
      </c>
    </row>
    <row r="7" spans="1:9" x14ac:dyDescent="0.2">
      <c r="A7" s="2">
        <v>6</v>
      </c>
      <c r="B7" t="s">
        <v>46</v>
      </c>
      <c r="C7" s="1">
        <v>326200</v>
      </c>
      <c r="D7" t="s">
        <v>4</v>
      </c>
      <c r="E7" s="7">
        <f>C6*C8</f>
        <v>326200</v>
      </c>
      <c r="F7" s="8" t="s">
        <v>50</v>
      </c>
    </row>
    <row r="8" spans="1:9" x14ac:dyDescent="0.2">
      <c r="A8" s="2">
        <v>7</v>
      </c>
      <c r="C8">
        <f>20/100</f>
        <v>0.2</v>
      </c>
      <c r="E8" s="7"/>
    </row>
    <row r="9" spans="1:9" x14ac:dyDescent="0.2">
      <c r="A9" s="2">
        <v>8</v>
      </c>
      <c r="B9" t="s">
        <v>10</v>
      </c>
      <c r="C9" s="1">
        <v>1304800</v>
      </c>
      <c r="D9" t="s">
        <v>4</v>
      </c>
      <c r="E9" s="1">
        <f>C6-C7</f>
        <v>1304800</v>
      </c>
      <c r="F9" s="8" t="s">
        <v>16</v>
      </c>
    </row>
    <row r="10" spans="1:9" x14ac:dyDescent="0.2">
      <c r="A10" s="2">
        <v>9</v>
      </c>
      <c r="B10" t="s">
        <v>40</v>
      </c>
      <c r="C10" s="7">
        <v>2.4</v>
      </c>
      <c r="D10" t="s">
        <v>44</v>
      </c>
    </row>
    <row r="11" spans="1:9" x14ac:dyDescent="0.2">
      <c r="A11" s="2">
        <v>10</v>
      </c>
      <c r="B11" t="s">
        <v>34</v>
      </c>
      <c r="C11" s="7">
        <v>5</v>
      </c>
      <c r="D11" t="s">
        <v>35</v>
      </c>
      <c r="E11" s="7"/>
    </row>
    <row r="12" spans="1:9" x14ac:dyDescent="0.2">
      <c r="A12" s="2">
        <v>11</v>
      </c>
      <c r="C12">
        <v>60</v>
      </c>
      <c r="D12" t="s">
        <v>52</v>
      </c>
      <c r="E12" s="7"/>
    </row>
    <row r="13" spans="1:9" x14ac:dyDescent="0.2">
      <c r="A13" s="2">
        <v>12</v>
      </c>
      <c r="C13">
        <f>2.4/100</f>
        <v>2.4E-2</v>
      </c>
      <c r="H13" t="s">
        <v>54</v>
      </c>
      <c r="I13" s="9">
        <f>(C9*C11*C13)</f>
        <v>156576</v>
      </c>
    </row>
    <row r="14" spans="1:9" x14ac:dyDescent="0.2">
      <c r="A14" s="2">
        <v>13</v>
      </c>
      <c r="E14" s="7">
        <f>(C9*C11*C13)+C9</f>
        <v>1461376</v>
      </c>
      <c r="F14" s="8" t="s">
        <v>51</v>
      </c>
      <c r="H14" t="s">
        <v>55</v>
      </c>
      <c r="I14" s="10">
        <f>C6+I13</f>
        <v>1787576</v>
      </c>
    </row>
    <row r="15" spans="1:9" x14ac:dyDescent="0.2">
      <c r="A15" s="2">
        <v>14</v>
      </c>
      <c r="B15" t="s">
        <v>45</v>
      </c>
      <c r="C15" s="1">
        <v>24357</v>
      </c>
      <c r="D15" t="s">
        <v>4</v>
      </c>
      <c r="E15" s="7">
        <f>E14/C12</f>
        <v>24356.266666666666</v>
      </c>
      <c r="F15" s="8" t="s">
        <v>53</v>
      </c>
    </row>
    <row r="16" spans="1:9" x14ac:dyDescent="0.2">
      <c r="A16" s="2"/>
    </row>
    <row r="18" spans="3:5" x14ac:dyDescent="0.2">
      <c r="C18">
        <f>C15*C12</f>
        <v>1461420</v>
      </c>
      <c r="E18" s="1">
        <f>C18-E9</f>
        <v>156620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D193-C5E1-439D-AE26-5B72B4342007}">
  <dimension ref="A1:L29"/>
  <sheetViews>
    <sheetView workbookViewId="0">
      <selection activeCell="B31" sqref="B31"/>
    </sheetView>
  </sheetViews>
  <sheetFormatPr defaultRowHeight="14.25" x14ac:dyDescent="0.2"/>
  <cols>
    <col min="2" max="2" width="27.75" customWidth="1"/>
    <col min="3" max="3" width="16.875" customWidth="1"/>
    <col min="5" max="5" width="13.125" bestFit="1" customWidth="1"/>
    <col min="10" max="10" width="10.125" bestFit="1" customWidth="1"/>
    <col min="12" max="12" width="10.375" bestFit="1" customWidth="1"/>
  </cols>
  <sheetData>
    <row r="1" spans="1:12" x14ac:dyDescent="0.2">
      <c r="B1" t="s">
        <v>0</v>
      </c>
    </row>
    <row r="2" spans="1:12" x14ac:dyDescent="0.2">
      <c r="B2" t="s">
        <v>1</v>
      </c>
    </row>
    <row r="3" spans="1:12" x14ac:dyDescent="0.2">
      <c r="A3" s="2">
        <v>1</v>
      </c>
      <c r="B3" t="s">
        <v>3</v>
      </c>
      <c r="C3" s="1">
        <v>644000</v>
      </c>
      <c r="D3" t="s">
        <v>4</v>
      </c>
    </row>
    <row r="4" spans="1:12" x14ac:dyDescent="0.2">
      <c r="A4" s="2">
        <v>2</v>
      </c>
      <c r="B4" t="s">
        <v>5</v>
      </c>
      <c r="C4" s="1">
        <v>7000</v>
      </c>
      <c r="D4" t="s">
        <v>4</v>
      </c>
    </row>
    <row r="5" spans="1:12" x14ac:dyDescent="0.2">
      <c r="A5" s="2">
        <v>3</v>
      </c>
      <c r="B5" t="s">
        <v>7</v>
      </c>
      <c r="C5" s="1">
        <f>C3+C4</f>
        <v>651000</v>
      </c>
      <c r="D5" t="s">
        <v>4</v>
      </c>
      <c r="E5" t="s">
        <v>13</v>
      </c>
    </row>
    <row r="6" spans="1:12" x14ac:dyDescent="0.2">
      <c r="A6" s="2">
        <v>4</v>
      </c>
      <c r="B6" t="s">
        <v>6</v>
      </c>
      <c r="C6" s="3">
        <v>50000</v>
      </c>
      <c r="D6" t="s">
        <v>4</v>
      </c>
      <c r="G6" t="s">
        <v>30</v>
      </c>
      <c r="J6" t="s">
        <v>37</v>
      </c>
    </row>
    <row r="7" spans="1:12" x14ac:dyDescent="0.2">
      <c r="A7" s="2">
        <v>5</v>
      </c>
      <c r="B7" t="s">
        <v>8</v>
      </c>
      <c r="C7" s="1">
        <f>C5+C6</f>
        <v>701000</v>
      </c>
      <c r="D7" t="s">
        <v>4</v>
      </c>
      <c r="E7" s="1" t="s">
        <v>14</v>
      </c>
      <c r="G7" s="1"/>
    </row>
    <row r="8" spans="1:12" x14ac:dyDescent="0.2">
      <c r="A8" s="2">
        <v>6</v>
      </c>
      <c r="B8" t="s">
        <v>9</v>
      </c>
      <c r="C8" s="1">
        <f>C7*0.15</f>
        <v>105150</v>
      </c>
      <c r="D8" t="s">
        <v>4</v>
      </c>
      <c r="E8" t="s">
        <v>15</v>
      </c>
    </row>
    <row r="9" spans="1:12" x14ac:dyDescent="0.2">
      <c r="A9" s="2">
        <v>7</v>
      </c>
      <c r="B9" t="s">
        <v>10</v>
      </c>
      <c r="C9" s="1">
        <f>C7-C8</f>
        <v>595850</v>
      </c>
      <c r="D9" t="s">
        <v>4</v>
      </c>
      <c r="E9" s="4" t="s">
        <v>16</v>
      </c>
    </row>
    <row r="10" spans="1:12" x14ac:dyDescent="0.2">
      <c r="A10" s="2"/>
      <c r="B10" t="s">
        <v>34</v>
      </c>
      <c r="C10" s="1">
        <v>7</v>
      </c>
      <c r="D10" t="s">
        <v>35</v>
      </c>
    </row>
    <row r="11" spans="1:12" x14ac:dyDescent="0.2">
      <c r="A11" s="2">
        <v>8</v>
      </c>
      <c r="B11" t="s">
        <v>11</v>
      </c>
      <c r="C11" s="3">
        <v>7412</v>
      </c>
      <c r="D11" t="s">
        <v>4</v>
      </c>
      <c r="G11" t="s">
        <v>32</v>
      </c>
      <c r="J11" s="7">
        <f>((C9*C12*C10)+C9-C13)/83</f>
        <v>7411.068975903614</v>
      </c>
      <c r="L11" s="6"/>
    </row>
    <row r="12" spans="1:12" x14ac:dyDescent="0.2">
      <c r="A12" s="2"/>
      <c r="B12" t="s">
        <v>36</v>
      </c>
      <c r="C12" s="5">
        <v>3.5499999999999997E-2</v>
      </c>
      <c r="J12" s="1"/>
    </row>
    <row r="13" spans="1:12" x14ac:dyDescent="0.2">
      <c r="A13" s="2">
        <v>9</v>
      </c>
      <c r="B13" t="s">
        <v>12</v>
      </c>
      <c r="C13" s="3">
        <v>128800</v>
      </c>
      <c r="D13" t="s">
        <v>4</v>
      </c>
      <c r="G13" t="s">
        <v>33</v>
      </c>
      <c r="J13" t="s">
        <v>37</v>
      </c>
    </row>
    <row r="14" spans="1:12" x14ac:dyDescent="0.2">
      <c r="B14" t="s">
        <v>2</v>
      </c>
    </row>
    <row r="15" spans="1:12" x14ac:dyDescent="0.2">
      <c r="J15" t="s">
        <v>38</v>
      </c>
    </row>
    <row r="17" spans="2:10" x14ac:dyDescent="0.2">
      <c r="B17" t="s">
        <v>17</v>
      </c>
    </row>
    <row r="18" spans="2:10" x14ac:dyDescent="0.2">
      <c r="B18" t="s">
        <v>21</v>
      </c>
      <c r="C18" s="1">
        <f>C8</f>
        <v>105150</v>
      </c>
      <c r="D18" t="s">
        <v>4</v>
      </c>
    </row>
    <row r="19" spans="2:10" x14ac:dyDescent="0.2">
      <c r="B19" t="s">
        <v>20</v>
      </c>
      <c r="C19" s="3">
        <f>C6</f>
        <v>50000</v>
      </c>
      <c r="D19" t="s">
        <v>4</v>
      </c>
    </row>
    <row r="20" spans="2:10" x14ac:dyDescent="0.2">
      <c r="B20" t="s">
        <v>19</v>
      </c>
      <c r="C20" s="3">
        <v>25000</v>
      </c>
      <c r="D20" t="s">
        <v>4</v>
      </c>
      <c r="G20" t="s">
        <v>31</v>
      </c>
      <c r="J20" t="s">
        <v>37</v>
      </c>
    </row>
    <row r="21" spans="2:10" x14ac:dyDescent="0.2">
      <c r="C21" s="1">
        <f>C18-C19-C20</f>
        <v>30150</v>
      </c>
      <c r="D21" t="s">
        <v>4</v>
      </c>
    </row>
    <row r="22" spans="2:10" x14ac:dyDescent="0.2">
      <c r="B22" t="s">
        <v>22</v>
      </c>
      <c r="C22" s="1">
        <v>2300</v>
      </c>
      <c r="D22" t="s">
        <v>4</v>
      </c>
    </row>
    <row r="23" spans="2:10" x14ac:dyDescent="0.2">
      <c r="B23" t="s">
        <v>24</v>
      </c>
      <c r="C23" s="1">
        <v>3500</v>
      </c>
      <c r="D23" t="s">
        <v>4</v>
      </c>
      <c r="E23" t="s">
        <v>23</v>
      </c>
    </row>
    <row r="24" spans="2:10" x14ac:dyDescent="0.2">
      <c r="B24" t="s">
        <v>25</v>
      </c>
      <c r="C24">
        <v>800</v>
      </c>
      <c r="D24" t="s">
        <v>4</v>
      </c>
    </row>
    <row r="25" spans="2:10" x14ac:dyDescent="0.2">
      <c r="B25" t="s">
        <v>26</v>
      </c>
      <c r="C25" s="1">
        <v>2250</v>
      </c>
      <c r="D25" t="s">
        <v>4</v>
      </c>
    </row>
    <row r="26" spans="2:10" x14ac:dyDescent="0.2">
      <c r="B26" t="s">
        <v>27</v>
      </c>
      <c r="C26" s="1">
        <v>39000</v>
      </c>
      <c r="D26" t="s">
        <v>4</v>
      </c>
    </row>
    <row r="27" spans="2:10" x14ac:dyDescent="0.2">
      <c r="B27" t="s">
        <v>28</v>
      </c>
      <c r="C27" s="1">
        <v>5000</v>
      </c>
      <c r="D27" t="s">
        <v>4</v>
      </c>
    </row>
    <row r="28" spans="2:10" x14ac:dyDescent="0.2">
      <c r="B28" t="s">
        <v>18</v>
      </c>
    </row>
    <row r="29" spans="2:10" x14ac:dyDescent="0.2">
      <c r="B29" t="s">
        <v>29</v>
      </c>
      <c r="C29" s="1">
        <v>34000</v>
      </c>
      <c r="D29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ธรรมดา</vt:lpstr>
      <vt:lpstr>สบายดี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พงศธร รุ่งพิริยะเดช</dc:creator>
  <cp:lastModifiedBy>พงศธร รุ่งพิริยะเดช</cp:lastModifiedBy>
  <dcterms:created xsi:type="dcterms:W3CDTF">2026-03-19T01:44:46Z</dcterms:created>
  <dcterms:modified xsi:type="dcterms:W3CDTF">2026-03-24T10:14:44Z</dcterms:modified>
</cp:coreProperties>
</file>